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LBA PLUS\Desktop\мирэа\стартап\"/>
    </mc:Choice>
  </mc:AlternateContent>
  <xr:revisionPtr revIDLastSave="0" documentId="8_{B008B140-D897-44F1-8D26-D4808E44BE26}" xr6:coauthVersionLast="47" xr6:coauthVersionMax="47" xr10:uidLastSave="{00000000-0000-0000-0000-000000000000}"/>
  <bookViews>
    <workbookView xWindow="-28920" yWindow="6945" windowWidth="29040" windowHeight="15720" tabRatio="500" xr2:uid="{00000000-000D-0000-FFFF-FFFF00000000}"/>
  </bookViews>
  <sheets>
    <sheet name="Допущения" sheetId="1" r:id="rId1"/>
    <sheet name="P&amp;L по месяцам" sheetId="2" r:id="rId2"/>
    <sheet name="Сводка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5" i="3"/>
  <c r="B7" i="3"/>
  <c r="G18" i="2"/>
  <c r="F18" i="2"/>
  <c r="E18" i="2"/>
  <c r="D18" i="2"/>
  <c r="C18" i="2"/>
  <c r="B18" i="2"/>
  <c r="H18" i="2" s="1"/>
  <c r="H16" i="2"/>
  <c r="D16" i="2"/>
  <c r="H15" i="2"/>
  <c r="G15" i="2"/>
  <c r="F15" i="2"/>
  <c r="E15" i="2"/>
  <c r="D15" i="2"/>
  <c r="C15" i="2"/>
  <c r="B15" i="2"/>
  <c r="D11" i="2"/>
  <c r="D22" i="2" s="1"/>
  <c r="C11" i="2"/>
  <c r="C22" i="2" s="1"/>
  <c r="B11" i="2"/>
  <c r="E6" i="2"/>
  <c r="E9" i="2" s="1"/>
  <c r="E5" i="2"/>
  <c r="E14" i="2" s="1"/>
  <c r="E19" i="2" s="1"/>
  <c r="D5" i="2"/>
  <c r="D14" i="2" s="1"/>
  <c r="D19" i="2" s="1"/>
  <c r="C5" i="2"/>
  <c r="C14" i="2" s="1"/>
  <c r="C19" i="2" s="1"/>
  <c r="B5" i="2"/>
  <c r="B14" i="2" s="1"/>
  <c r="G4" i="2"/>
  <c r="G5" i="2" s="1"/>
  <c r="G14" i="2" s="1"/>
  <c r="G19" i="2" s="1"/>
  <c r="F4" i="2"/>
  <c r="F5" i="2" s="1"/>
  <c r="E4" i="2"/>
  <c r="D4" i="2"/>
  <c r="C4" i="2"/>
  <c r="B4" i="2"/>
  <c r="B36" i="1"/>
  <c r="F14" i="2" l="1"/>
  <c r="F19" i="2" s="1"/>
  <c r="H5" i="2"/>
  <c r="B20" i="3" s="1"/>
  <c r="B19" i="2"/>
  <c r="H14" i="2"/>
  <c r="E10" i="2"/>
  <c r="E11" i="2"/>
  <c r="E22" i="2" s="1"/>
  <c r="B22" i="2"/>
  <c r="F6" i="2"/>
  <c r="G6" i="2"/>
  <c r="F9" i="2" l="1"/>
  <c r="H6" i="2"/>
  <c r="H19" i="2"/>
  <c r="B9" i="3" s="1"/>
  <c r="B8" i="3"/>
  <c r="B21" i="3"/>
  <c r="G9" i="2"/>
  <c r="B23" i="2"/>
  <c r="C23" i="2" s="1"/>
  <c r="D23" i="2" s="1"/>
  <c r="E23" i="2" s="1"/>
  <c r="G10" i="2" l="1"/>
  <c r="G11" i="2"/>
  <c r="G22" i="2" s="1"/>
  <c r="B16" i="3" s="1"/>
  <c r="F10" i="2"/>
  <c r="H10" i="2" s="1"/>
  <c r="F11" i="2"/>
  <c r="F22" i="2" s="1"/>
  <c r="H22" i="2" s="1"/>
  <c r="H9" i="2"/>
  <c r="H11" i="2" s="1"/>
  <c r="B12" i="3" s="1"/>
  <c r="F23" i="2" l="1"/>
  <c r="G23" i="2" s="1"/>
  <c r="H23" i="2" s="1"/>
</calcChain>
</file>

<file path=xl/sharedStrings.xml><?xml version="1.0" encoding="utf-8"?>
<sst xmlns="http://schemas.openxmlformats.org/spreadsheetml/2006/main" count="112" uniqueCount="95">
  <si>
    <t>ЧекМудрец — Допущения модели</t>
  </si>
  <si>
    <t>1. Стоимость API нейросети (OpenAI Vision / аналог)</t>
  </si>
  <si>
    <t>Стоимость обработки 1 чека (API-запрос), ₽</t>
  </si>
  <si>
    <t>~$0.03 за запрос Vision API</t>
  </si>
  <si>
    <t>Кол-во бесплатных токенов/кредитов в месяц (₽)</t>
  </si>
  <si>
    <t>Стартовые кредиты / бесплатный tier</t>
  </si>
  <si>
    <t>2. Хостинг и инфраструктура</t>
  </si>
  <si>
    <t>Сервер (VPS/облако), ₽/мес</t>
  </si>
  <si>
    <t>Минимальный VPS ~800 ₽/мес</t>
  </si>
  <si>
    <t>Домен, ₽/год (делим на 12)</t>
  </si>
  <si>
    <t>300 ₽/год → 25 ₽/мес</t>
  </si>
  <si>
    <t>RuStore (публикация), ₽</t>
  </si>
  <si>
    <t>Публикация в RuStore бесплатна</t>
  </si>
  <si>
    <t>3. Рост аудитории</t>
  </si>
  <si>
    <t>Друзья, одногруппники, тестировщики</t>
  </si>
  <si>
    <t>Сарафанное радио</t>
  </si>
  <si>
    <t>RuStore + органический рост</t>
  </si>
  <si>
    <t>Пользователи — Мес 4</t>
  </si>
  <si>
    <t>Органический рост</t>
  </si>
  <si>
    <t>Пользователи — Мес 5</t>
  </si>
  <si>
    <t>Пользователи — Мес 6</t>
  </si>
  <si>
    <t>Ср. чеков на пользователя в месяц</t>
  </si>
  <si>
    <t>~1-2 чека в неделю</t>
  </si>
  <si>
    <t>5% конверсия в платный тариф</t>
  </si>
  <si>
    <t>4. Монетизация (Мес 4+)</t>
  </si>
  <si>
    <t>Цена подписки Premium, ₽/мес</t>
  </si>
  <si>
    <t>Расширенная аналитика, советы, история</t>
  </si>
  <si>
    <t>Комиссия RuStore</t>
  </si>
  <si>
    <t>5% — комиссия RuStore</t>
  </si>
  <si>
    <t>5. Разовые затраты на старте</t>
  </si>
  <si>
    <t>Инструменты разработки (IDE, тесты и пр.), ₽</t>
  </si>
  <si>
    <t>Дизайн (Figma — бесплатный тариф), ₽</t>
  </si>
  <si>
    <t>Бесплатно</t>
  </si>
  <si>
    <t>Публикация в RuStore (разово), ₽</t>
  </si>
  <si>
    <t>6. Инструменты разработки — Claude Code</t>
  </si>
  <si>
    <t>Claude Pro (1 аккаунт на команду), $/мес</t>
  </si>
  <si>
    <t>Один аккаунт на 5 человек</t>
  </si>
  <si>
    <t>Курс USD → RUB (для пересчёта)</t>
  </si>
  <si>
    <t>Claude Pro в рублях, ₽/мес</t>
  </si>
  <si>
    <t>ЧекМудрец — P&amp;L (Прибыли и убытки), ₽</t>
  </si>
  <si>
    <t>Статья</t>
  </si>
  <si>
    <t>Мес 1
(фев)</t>
  </si>
  <si>
    <t>Мес 2
(мар)</t>
  </si>
  <si>
    <t>Мес 3
(апр)</t>
  </si>
  <si>
    <t>Мес 4
(май)</t>
  </si>
  <si>
    <t>Мес 5
(июн)</t>
  </si>
  <si>
    <t>Мес 6
(июл)</t>
  </si>
  <si>
    <t>ИТОГО</t>
  </si>
  <si>
    <t>ПОЛЬЗОВАТЕЛИ</t>
  </si>
  <si>
    <t>Всего пользователей</t>
  </si>
  <si>
    <t>Кол-во чеков за месяц</t>
  </si>
  <si>
    <t>Платящих пользователей (Мес 4–6)</t>
  </si>
  <si>
    <t>-</t>
  </si>
  <si>
    <t>ДОХОДЫ</t>
  </si>
  <si>
    <t xml:space="preserve">  Выручка от подписок (до вычета комиссии)</t>
  </si>
  <si>
    <t xml:space="preserve">  Комиссия магазинов (−30%)</t>
  </si>
  <si>
    <t>ИТОГО ВЫРУЧКА (чистая)</t>
  </si>
  <si>
    <t>РАСХОДЫ</t>
  </si>
  <si>
    <t xml:space="preserve">  API нейросети (Vision)</t>
  </si>
  <si>
    <t xml:space="preserve">  Хостинг (VPS + домен)</t>
  </si>
  <si>
    <t xml:space="preserve">  RuStore (публикация, разово)</t>
  </si>
  <si>
    <t xml:space="preserve">  Claude Code (Pro подписка)</t>
  </si>
  <si>
    <t>ИТОГО РАСХОДЫ</t>
  </si>
  <si>
    <t>ИТОГ</t>
  </si>
  <si>
    <t>Прибыль / убыток за месяц</t>
  </si>
  <si>
    <t>Накопленный денежный поток (Cumulative)</t>
  </si>
  <si>
    <t>ЧекМудрец — Сводка по проекту</t>
  </si>
  <si>
    <t>Показатель</t>
  </si>
  <si>
    <t>Значение</t>
  </si>
  <si>
    <t>Комментарий</t>
  </si>
  <si>
    <t>Горизонт расчёта</t>
  </si>
  <si>
    <t>6 месяцев</t>
  </si>
  <si>
    <t>Зарплаты команды</t>
  </si>
  <si>
    <t>— (учебный проект)</t>
  </si>
  <si>
    <t>5 человек, учебный проект</t>
  </si>
  <si>
    <t>ЗАТРАТЫ</t>
  </si>
  <si>
    <t>Разовые затраты (публикация в магазинах)</t>
  </si>
  <si>
    <t>Регулярные затраты за 6 мес (хостинг + API)</t>
  </si>
  <si>
    <t>ИТОГО РАСХОДЫ за 6 мес</t>
  </si>
  <si>
    <t>Основные: публикация приложений + сервер</t>
  </si>
  <si>
    <t>Выручка чистая за 6 мес</t>
  </si>
  <si>
    <t>После вычета 30% комиссии магазинов</t>
  </si>
  <si>
    <t>Прибыль / убыток за 6 мес</t>
  </si>
  <si>
    <t>Без учёта стоимости труда команды</t>
  </si>
  <si>
    <t>Накопленный денежный поток к Мес 6</t>
  </si>
  <si>
    <t>Выход в плюс — зависит от конверсии</t>
  </si>
  <si>
    <t>МЕТРИКИ</t>
  </si>
  <si>
    <t>Пользователей к концу Мес 6</t>
  </si>
  <si>
    <t>Всего обработано чеков за 6 мес</t>
  </si>
  <si>
    <t>North Star Metric</t>
  </si>
  <si>
    <t>Платящих пользователей в Мес 6</t>
  </si>
  <si>
    <t>Пользователи — Мес 1</t>
  </si>
  <si>
    <t>Пользователи — Мес 2</t>
  </si>
  <si>
    <t>Пользователи — Мес 3</t>
  </si>
  <si>
    <t>Доля платящих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</si>
</sst>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₽&quot;;\(#,##0&quot; ₽)&quot;;\-"/>
    <numFmt numFmtId="165" formatCode="0.0%"/>
    <numFmt numFmtId="166" formatCode="#,##0&quot; $&quot;;\(#,##0&quot; $)&quot;;\-"/>
    <numFmt numFmtId="167" formatCode="#,##0;\(#,##0\);\-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/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right" vertical="center"/>
    </xf>
    <xf numFmtId="0" fontId="0" fillId="0" borderId="2" xfId="0" applyFont="1" applyBorder="1" applyAlignment="1"/>
    <xf numFmtId="0" fontId="2" fillId="0" borderId="2" xfId="0" applyFont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0" fillId="0" borderId="3" xfId="0" applyBorder="1" applyAlignment="1"/>
    <xf numFmtId="164" fontId="3" fillId="6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zoomScaleNormal="100" workbookViewId="0">
      <selection activeCell="G14" sqref="G14"/>
    </sheetView>
  </sheetViews>
  <sheetFormatPr defaultColWidth="8.6328125" defaultRowHeight="14.5" x14ac:dyDescent="0.35"/>
  <cols>
    <col min="1" max="1" width="38" style="4" customWidth="1"/>
    <col min="2" max="2" width="18" style="4" customWidth="1"/>
    <col min="3" max="3" width="38" style="4" customWidth="1"/>
  </cols>
  <sheetData>
    <row r="1" spans="1:3" ht="30" customHeight="1" x14ac:dyDescent="0.35">
      <c r="A1" s="3" t="s">
        <v>0</v>
      </c>
      <c r="B1" s="3"/>
      <c r="C1" s="3"/>
    </row>
    <row r="2" spans="1:3" ht="6" customHeight="1" x14ac:dyDescent="0.35"/>
    <row r="3" spans="1:3" ht="15" customHeight="1" x14ac:dyDescent="0.35">
      <c r="A3" s="2" t="s">
        <v>1</v>
      </c>
      <c r="B3" s="2"/>
      <c r="C3" s="2"/>
    </row>
    <row r="4" spans="1:3" ht="15" customHeight="1" x14ac:dyDescent="0.35">
      <c r="A4" s="6" t="s">
        <v>2</v>
      </c>
      <c r="B4" s="7">
        <v>3</v>
      </c>
      <c r="C4" s="8" t="s">
        <v>3</v>
      </c>
    </row>
    <row r="5" spans="1:3" ht="23.25" customHeight="1" x14ac:dyDescent="0.35">
      <c r="A5" s="6" t="s">
        <v>4</v>
      </c>
      <c r="B5" s="7">
        <v>1500</v>
      </c>
      <c r="C5" s="8" t="s">
        <v>5</v>
      </c>
    </row>
    <row r="6" spans="1:3" ht="6" customHeight="1" x14ac:dyDescent="0.35"/>
    <row r="7" spans="1:3" ht="15" customHeight="1" x14ac:dyDescent="0.35">
      <c r="A7" s="2" t="s">
        <v>6</v>
      </c>
      <c r="B7" s="2"/>
      <c r="C7" s="2"/>
    </row>
    <row r="8" spans="1:3" ht="15" customHeight="1" x14ac:dyDescent="0.35">
      <c r="A8" s="6" t="s">
        <v>7</v>
      </c>
      <c r="B8" s="7">
        <v>800</v>
      </c>
      <c r="C8" s="8" t="s">
        <v>8</v>
      </c>
    </row>
    <row r="9" spans="1:3" ht="15" customHeight="1" x14ac:dyDescent="0.35">
      <c r="A9" s="6" t="s">
        <v>9</v>
      </c>
      <c r="B9" s="7">
        <v>25</v>
      </c>
      <c r="C9" s="8" t="s">
        <v>10</v>
      </c>
    </row>
    <row r="10" spans="1:3" ht="15" customHeight="1" x14ac:dyDescent="0.35">
      <c r="A10" s="6" t="s">
        <v>11</v>
      </c>
      <c r="B10" s="7">
        <v>0</v>
      </c>
      <c r="C10" s="8" t="s">
        <v>12</v>
      </c>
    </row>
    <row r="11" spans="1:3" ht="15" customHeight="1" x14ac:dyDescent="0.35">
      <c r="A11" s="6"/>
      <c r="B11" s="7"/>
      <c r="C11" s="8"/>
    </row>
    <row r="12" spans="1:3" ht="22" customHeight="1" x14ac:dyDescent="0.35"/>
    <row r="13" spans="1:3" ht="15" customHeight="1" x14ac:dyDescent="0.35">
      <c r="A13" s="2" t="s">
        <v>13</v>
      </c>
      <c r="B13" s="2"/>
      <c r="C13" s="2"/>
    </row>
    <row r="14" spans="1:3" ht="15" customHeight="1" x14ac:dyDescent="0.35">
      <c r="A14" s="25" t="s">
        <v>91</v>
      </c>
      <c r="B14" s="24">
        <v>30</v>
      </c>
      <c r="C14" s="8" t="s">
        <v>14</v>
      </c>
    </row>
    <row r="15" spans="1:3" ht="23.25" customHeight="1" x14ac:dyDescent="0.35">
      <c r="A15" s="25" t="s">
        <v>92</v>
      </c>
      <c r="B15" s="24">
        <v>80</v>
      </c>
      <c r="C15" s="8" t="s">
        <v>15</v>
      </c>
    </row>
    <row r="16" spans="1:3" ht="23.25" customHeight="1" x14ac:dyDescent="0.35">
      <c r="A16" s="25" t="s">
        <v>93</v>
      </c>
      <c r="B16" s="24">
        <v>200</v>
      </c>
      <c r="C16" s="8" t="s">
        <v>16</v>
      </c>
    </row>
    <row r="17" spans="1:3" ht="15" customHeight="1" x14ac:dyDescent="0.35">
      <c r="A17" s="6" t="s">
        <v>17</v>
      </c>
      <c r="B17" s="24">
        <v>400</v>
      </c>
      <c r="C17" s="8" t="s">
        <v>18</v>
      </c>
    </row>
    <row r="18" spans="1:3" ht="15" customHeight="1" x14ac:dyDescent="0.35">
      <c r="A18" s="6" t="s">
        <v>19</v>
      </c>
      <c r="B18" s="24">
        <v>700</v>
      </c>
      <c r="C18" s="8"/>
    </row>
    <row r="19" spans="1:3" ht="15" customHeight="1" x14ac:dyDescent="0.35">
      <c r="A19" s="6" t="s">
        <v>20</v>
      </c>
      <c r="B19" s="24">
        <v>1100</v>
      </c>
      <c r="C19" s="8"/>
    </row>
    <row r="20" spans="1:3" ht="15" customHeight="1" x14ac:dyDescent="0.35">
      <c r="A20" s="6" t="s">
        <v>21</v>
      </c>
      <c r="B20" s="24">
        <v>6</v>
      </c>
      <c r="C20" s="8" t="s">
        <v>22</v>
      </c>
    </row>
    <row r="21" spans="1:3" ht="23.25" customHeight="1" x14ac:dyDescent="0.35">
      <c r="A21" s="25" t="s">
        <v>94</v>
      </c>
      <c r="B21" s="9">
        <v>0.05</v>
      </c>
      <c r="C21" s="8" t="s">
        <v>23</v>
      </c>
    </row>
    <row r="22" spans="1:3" ht="6" customHeight="1" x14ac:dyDescent="0.35"/>
    <row r="23" spans="1:3" ht="15" customHeight="1" x14ac:dyDescent="0.35">
      <c r="A23" s="2" t="s">
        <v>24</v>
      </c>
      <c r="B23" s="2"/>
      <c r="C23" s="2"/>
    </row>
    <row r="24" spans="1:3" ht="15" customHeight="1" x14ac:dyDescent="0.35">
      <c r="A24" s="6" t="s">
        <v>25</v>
      </c>
      <c r="B24" s="7">
        <v>199</v>
      </c>
      <c r="C24" s="8" t="s">
        <v>26</v>
      </c>
    </row>
    <row r="25" spans="1:3" ht="21.75" customHeight="1" x14ac:dyDescent="0.35">
      <c r="A25" s="6" t="s">
        <v>27</v>
      </c>
      <c r="B25" s="9">
        <v>0.05</v>
      </c>
      <c r="C25" s="8" t="s">
        <v>28</v>
      </c>
    </row>
    <row r="26" spans="1:3" ht="6" customHeight="1" x14ac:dyDescent="0.35"/>
    <row r="27" spans="1:3" ht="15" customHeight="1" x14ac:dyDescent="0.35">
      <c r="A27" s="2" t="s">
        <v>29</v>
      </c>
      <c r="B27" s="2"/>
      <c r="C27" s="2"/>
    </row>
    <row r="28" spans="1:3" ht="23.25" customHeight="1" x14ac:dyDescent="0.35">
      <c r="A28" s="6" t="s">
        <v>30</v>
      </c>
      <c r="B28" s="7">
        <v>0</v>
      </c>
      <c r="C28" s="8" t="s">
        <v>32</v>
      </c>
    </row>
    <row r="29" spans="1:3" ht="15" customHeight="1" x14ac:dyDescent="0.35">
      <c r="A29" s="6" t="s">
        <v>31</v>
      </c>
      <c r="B29" s="7">
        <v>0</v>
      </c>
      <c r="C29" s="8" t="s">
        <v>32</v>
      </c>
    </row>
    <row r="30" spans="1:3" ht="15" customHeight="1" x14ac:dyDescent="0.35">
      <c r="A30" s="6" t="s">
        <v>33</v>
      </c>
      <c r="B30" s="7">
        <v>0</v>
      </c>
      <c r="C30" s="8" t="s">
        <v>32</v>
      </c>
    </row>
    <row r="31" spans="1:3" ht="15" customHeight="1" x14ac:dyDescent="0.35">
      <c r="A31" s="10"/>
      <c r="B31" s="11"/>
      <c r="C31" s="10"/>
    </row>
    <row r="32" spans="1:3" ht="28" customHeight="1" x14ac:dyDescent="0.35"/>
    <row r="33" spans="1:3" ht="15" customHeight="1" x14ac:dyDescent="0.35">
      <c r="A33" s="2" t="s">
        <v>34</v>
      </c>
      <c r="B33" s="2"/>
      <c r="C33" s="2"/>
    </row>
    <row r="34" spans="1:3" ht="15" customHeight="1" x14ac:dyDescent="0.35">
      <c r="A34" s="6" t="s">
        <v>35</v>
      </c>
      <c r="B34" s="12">
        <v>20</v>
      </c>
      <c r="C34" s="8" t="s">
        <v>36</v>
      </c>
    </row>
    <row r="35" spans="1:3" ht="15" customHeight="1" x14ac:dyDescent="0.35">
      <c r="A35" s="6" t="s">
        <v>37</v>
      </c>
      <c r="B35" s="13">
        <v>90</v>
      </c>
      <c r="C35" s="8"/>
    </row>
    <row r="36" spans="1:3" ht="15" customHeight="1" x14ac:dyDescent="0.35">
      <c r="A36" s="6" t="s">
        <v>38</v>
      </c>
      <c r="B36" s="14">
        <f>B34*B35</f>
        <v>1800</v>
      </c>
      <c r="C36" s="8"/>
    </row>
  </sheetData>
  <mergeCells count="7">
    <mergeCell ref="A27:C27"/>
    <mergeCell ref="A33:C33"/>
    <mergeCell ref="A1:C1"/>
    <mergeCell ref="A3:C3"/>
    <mergeCell ref="A7:C7"/>
    <mergeCell ref="A13:C13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zoomScaleNormal="100" workbookViewId="0"/>
  </sheetViews>
  <sheetFormatPr defaultColWidth="8.6328125" defaultRowHeight="14.5" x14ac:dyDescent="0.35"/>
  <cols>
    <col min="1" max="1" width="36" style="4" customWidth="1"/>
    <col min="2" max="8" width="14" style="4" customWidth="1"/>
  </cols>
  <sheetData>
    <row r="1" spans="1:8" ht="30" customHeight="1" x14ac:dyDescent="0.35">
      <c r="A1" s="3" t="s">
        <v>39</v>
      </c>
      <c r="B1" s="3"/>
      <c r="C1" s="3"/>
      <c r="D1" s="3"/>
      <c r="E1" s="3"/>
      <c r="F1" s="3"/>
      <c r="G1" s="3"/>
      <c r="H1" s="3"/>
    </row>
    <row r="2" spans="1:8" ht="39.75" customHeight="1" x14ac:dyDescent="0.35">
      <c r="A2" s="15" t="s">
        <v>40</v>
      </c>
      <c r="B2" s="15" t="s">
        <v>41</v>
      </c>
      <c r="C2" s="15" t="s">
        <v>42</v>
      </c>
      <c r="D2" s="15" t="s">
        <v>43</v>
      </c>
      <c r="E2" s="15" t="s">
        <v>44</v>
      </c>
      <c r="F2" s="15" t="s">
        <v>45</v>
      </c>
      <c r="G2" s="15" t="s">
        <v>46</v>
      </c>
      <c r="H2" s="15" t="s">
        <v>47</v>
      </c>
    </row>
    <row r="3" spans="1:8" ht="15" customHeight="1" x14ac:dyDescent="0.35">
      <c r="A3" s="2" t="s">
        <v>48</v>
      </c>
      <c r="B3" s="2"/>
      <c r="C3" s="2"/>
      <c r="D3" s="2"/>
      <c r="E3" s="2"/>
      <c r="F3" s="2"/>
      <c r="G3" s="2"/>
      <c r="H3" s="2"/>
    </row>
    <row r="4" spans="1:8" ht="15" customHeight="1" x14ac:dyDescent="0.35">
      <c r="A4" s="6" t="s">
        <v>49</v>
      </c>
      <c r="B4" s="16">
        <f>Допущения!B14</f>
        <v>30</v>
      </c>
      <c r="C4" s="16">
        <f>Допущения!B15</f>
        <v>80</v>
      </c>
      <c r="D4" s="16">
        <f>Допущения!B16</f>
        <v>200</v>
      </c>
      <c r="E4" s="16">
        <f>Допущения!B17</f>
        <v>400</v>
      </c>
      <c r="F4" s="16">
        <f>Допущения!B18</f>
        <v>700</v>
      </c>
      <c r="G4" s="16">
        <f>Допущения!B19</f>
        <v>1100</v>
      </c>
      <c r="H4" s="16"/>
    </row>
    <row r="5" spans="1:8" ht="15" customHeight="1" x14ac:dyDescent="0.35">
      <c r="A5" s="6" t="s">
        <v>50</v>
      </c>
      <c r="B5" s="16">
        <f>B4*Допущения!B20</f>
        <v>180</v>
      </c>
      <c r="C5" s="16">
        <f>C4*Допущения!B20</f>
        <v>480</v>
      </c>
      <c r="D5" s="16">
        <f>D4*Допущения!B20</f>
        <v>1200</v>
      </c>
      <c r="E5" s="16">
        <f>E4*Допущения!B20</f>
        <v>2400</v>
      </c>
      <c r="F5" s="16">
        <f>F4*Допущения!B20</f>
        <v>4200</v>
      </c>
      <c r="G5" s="16">
        <f>G4*Допущения!B20</f>
        <v>6600</v>
      </c>
      <c r="H5" s="16">
        <f>SUM(B5:G5)</f>
        <v>15060</v>
      </c>
    </row>
    <row r="6" spans="1:8" ht="15" customHeight="1" x14ac:dyDescent="0.35">
      <c r="A6" s="6" t="s">
        <v>51</v>
      </c>
      <c r="B6" s="17" t="s">
        <v>52</v>
      </c>
      <c r="C6" s="17" t="s">
        <v>52</v>
      </c>
      <c r="D6" s="17" t="s">
        <v>52</v>
      </c>
      <c r="E6" s="16">
        <f>ROUND(E4*Допущения!B21,0)</f>
        <v>20</v>
      </c>
      <c r="F6" s="16">
        <f>ROUND(F4*Допущения!B21,0)</f>
        <v>35</v>
      </c>
      <c r="G6" s="16">
        <f>ROUND(G4*Допущения!B21,0)</f>
        <v>55</v>
      </c>
      <c r="H6" s="16">
        <f>SUM(B6:G6)</f>
        <v>110</v>
      </c>
    </row>
    <row r="7" spans="1:8" ht="6" customHeight="1" x14ac:dyDescent="0.35"/>
    <row r="8" spans="1:8" ht="15" customHeight="1" x14ac:dyDescent="0.35">
      <c r="A8" s="2" t="s">
        <v>53</v>
      </c>
      <c r="B8" s="2"/>
      <c r="C8" s="2"/>
      <c r="D8" s="2"/>
      <c r="E8" s="2"/>
      <c r="F8" s="2"/>
      <c r="G8" s="2"/>
      <c r="H8" s="2"/>
    </row>
    <row r="9" spans="1:8" ht="23.25" customHeight="1" x14ac:dyDescent="0.35">
      <c r="A9" s="6" t="s">
        <v>54</v>
      </c>
      <c r="B9" s="17" t="s">
        <v>52</v>
      </c>
      <c r="C9" s="17" t="s">
        <v>52</v>
      </c>
      <c r="D9" s="17" t="s">
        <v>52</v>
      </c>
      <c r="E9" s="14">
        <f>E6*Допущения!B24</f>
        <v>3980</v>
      </c>
      <c r="F9" s="14">
        <f>F6*Допущения!B24</f>
        <v>6965</v>
      </c>
      <c r="G9" s="14">
        <f>G6*Допущения!B24</f>
        <v>10945</v>
      </c>
      <c r="H9" s="14">
        <f>SUM(B9:G9)</f>
        <v>21890</v>
      </c>
    </row>
    <row r="10" spans="1:8" ht="15" customHeight="1" x14ac:dyDescent="0.35">
      <c r="A10" s="6" t="s">
        <v>55</v>
      </c>
      <c r="B10" s="17" t="s">
        <v>52</v>
      </c>
      <c r="C10" s="17" t="s">
        <v>52</v>
      </c>
      <c r="D10" s="17" t="s">
        <v>52</v>
      </c>
      <c r="E10" s="14">
        <f>-E9*Допущения!B25</f>
        <v>-199</v>
      </c>
      <c r="F10" s="14">
        <f>-F9*Допущения!B25</f>
        <v>-348.25</v>
      </c>
      <c r="G10" s="14">
        <f>-G9*Допущения!B25</f>
        <v>-547.25</v>
      </c>
      <c r="H10" s="14">
        <f>SUM(B10:G10)</f>
        <v>-1094.5</v>
      </c>
    </row>
    <row r="11" spans="1:8" ht="15" customHeight="1" x14ac:dyDescent="0.35">
      <c r="A11" s="18" t="s">
        <v>56</v>
      </c>
      <c r="B11" s="19">
        <f t="shared" ref="B11:H11" si="0">SUM(B9:B10)</f>
        <v>0</v>
      </c>
      <c r="C11" s="19">
        <f t="shared" si="0"/>
        <v>0</v>
      </c>
      <c r="D11" s="19">
        <f t="shared" si="0"/>
        <v>0</v>
      </c>
      <c r="E11" s="19">
        <f t="shared" si="0"/>
        <v>3781</v>
      </c>
      <c r="F11" s="19">
        <f t="shared" si="0"/>
        <v>6616.75</v>
      </c>
      <c r="G11" s="19">
        <f t="shared" si="0"/>
        <v>10397.75</v>
      </c>
      <c r="H11" s="19">
        <f t="shared" si="0"/>
        <v>20795.5</v>
      </c>
    </row>
    <row r="12" spans="1:8" ht="6" customHeight="1" x14ac:dyDescent="0.35"/>
    <row r="13" spans="1:8" ht="15" customHeight="1" x14ac:dyDescent="0.35">
      <c r="A13" s="2" t="s">
        <v>57</v>
      </c>
      <c r="B13" s="2"/>
      <c r="C13" s="2"/>
      <c r="D13" s="2"/>
      <c r="E13" s="2"/>
      <c r="F13" s="2"/>
      <c r="G13" s="2"/>
      <c r="H13" s="2"/>
    </row>
    <row r="14" spans="1:8" ht="15" customHeight="1" x14ac:dyDescent="0.35">
      <c r="A14" s="6" t="s">
        <v>58</v>
      </c>
      <c r="B14" s="14">
        <f>MAX(0,B5*Допущения!B4-Допущения!B5)</f>
        <v>0</v>
      </c>
      <c r="C14" s="14">
        <f>MAX(0,C5*Допущения!B4-Допущения!B5)</f>
        <v>0</v>
      </c>
      <c r="D14" s="14">
        <f>MAX(0,D5*Допущения!B4-Допущения!B5)</f>
        <v>2100</v>
      </c>
      <c r="E14" s="14">
        <f>MAX(0,E5*Допущения!B4-Допущения!B5)</f>
        <v>5700</v>
      </c>
      <c r="F14" s="14">
        <f>MAX(0,F5*Допущения!B4-Допущения!B5)</f>
        <v>11100</v>
      </c>
      <c r="G14" s="14">
        <f>MAX(0,G5*Допущения!B4-Допущения!B5)</f>
        <v>18300</v>
      </c>
      <c r="H14" s="14">
        <f>SUM(B14:G14)</f>
        <v>37200</v>
      </c>
    </row>
    <row r="15" spans="1:8" ht="15" customHeight="1" x14ac:dyDescent="0.35">
      <c r="A15" s="6" t="s">
        <v>59</v>
      </c>
      <c r="B15" s="14">
        <f>Допущения!B8+Допущения!B9</f>
        <v>825</v>
      </c>
      <c r="C15" s="14">
        <f>Допущения!B8+Допущения!B9</f>
        <v>825</v>
      </c>
      <c r="D15" s="14">
        <f>Допущения!B8+Допущения!B9</f>
        <v>825</v>
      </c>
      <c r="E15" s="14">
        <f>Допущения!B8+Допущения!B9</f>
        <v>825</v>
      </c>
      <c r="F15" s="14">
        <f>Допущения!B8+Допущения!B9</f>
        <v>825</v>
      </c>
      <c r="G15" s="14">
        <f>Допущения!B8+Допущения!B9</f>
        <v>825</v>
      </c>
      <c r="H15" s="14">
        <f>SUM(B15:G15)</f>
        <v>4950</v>
      </c>
    </row>
    <row r="16" spans="1:8" ht="15" customHeight="1" x14ac:dyDescent="0.35">
      <c r="A16" s="6" t="s">
        <v>60</v>
      </c>
      <c r="B16" s="17" t="s">
        <v>52</v>
      </c>
      <c r="C16" s="17" t="s">
        <v>52</v>
      </c>
      <c r="D16" s="14">
        <f>Допущения!B31</f>
        <v>0</v>
      </c>
      <c r="E16" s="17" t="s">
        <v>52</v>
      </c>
      <c r="F16" s="17" t="s">
        <v>52</v>
      </c>
      <c r="G16" s="17" t="s">
        <v>52</v>
      </c>
      <c r="H16" s="14">
        <f>Допущения!B31</f>
        <v>0</v>
      </c>
    </row>
    <row r="17" spans="1:8" ht="15" customHeight="1" x14ac:dyDescent="0.35">
      <c r="A17" s="6"/>
      <c r="B17" s="17"/>
      <c r="C17" s="17"/>
      <c r="D17" s="14"/>
      <c r="E17" s="17"/>
      <c r="F17" s="17"/>
      <c r="G17" s="17"/>
      <c r="H17" s="14"/>
    </row>
    <row r="18" spans="1:8" ht="15" customHeight="1" x14ac:dyDescent="0.35">
      <c r="A18" s="6" t="s">
        <v>61</v>
      </c>
      <c r="B18" s="14">
        <f>Допущения!B36</f>
        <v>1800</v>
      </c>
      <c r="C18" s="14">
        <f>Допущения!B36</f>
        <v>1800</v>
      </c>
      <c r="D18" s="14">
        <f>Допущения!B36</f>
        <v>1800</v>
      </c>
      <c r="E18" s="14">
        <f>Допущения!B36</f>
        <v>1800</v>
      </c>
      <c r="F18" s="14">
        <f>Допущения!B36</f>
        <v>1800</v>
      </c>
      <c r="G18" s="14">
        <f>Допущения!B36</f>
        <v>1800</v>
      </c>
      <c r="H18" s="14">
        <f>SUM(B18:G18)</f>
        <v>10800</v>
      </c>
    </row>
    <row r="19" spans="1:8" ht="6" customHeight="1" x14ac:dyDescent="0.35">
      <c r="A19" s="18" t="s">
        <v>62</v>
      </c>
      <c r="B19" s="20">
        <f t="shared" ref="B19:H19" si="1">SUM(B14:B18)</f>
        <v>2625</v>
      </c>
      <c r="C19" s="20">
        <f t="shared" si="1"/>
        <v>2625</v>
      </c>
      <c r="D19" s="20">
        <f t="shared" si="1"/>
        <v>4725</v>
      </c>
      <c r="E19" s="20">
        <f t="shared" si="1"/>
        <v>8325</v>
      </c>
      <c r="F19" s="20">
        <f t="shared" si="1"/>
        <v>13725</v>
      </c>
      <c r="G19" s="20">
        <f t="shared" si="1"/>
        <v>20925</v>
      </c>
      <c r="H19" s="20">
        <f t="shared" si="1"/>
        <v>52950</v>
      </c>
    </row>
    <row r="20" spans="1:8" ht="1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15" customHeight="1" x14ac:dyDescent="0.35">
      <c r="A21" s="5" t="s">
        <v>63</v>
      </c>
      <c r="B21" s="21"/>
      <c r="C21" s="21"/>
      <c r="D21" s="21"/>
      <c r="E21" s="21"/>
      <c r="F21" s="21"/>
      <c r="G21" s="21"/>
      <c r="H21" s="21"/>
    </row>
    <row r="22" spans="1:8" ht="23.25" customHeight="1" x14ac:dyDescent="0.35">
      <c r="A22" s="18" t="s">
        <v>64</v>
      </c>
      <c r="B22" s="22">
        <f t="shared" ref="B22:G22" si="2">B11-B19</f>
        <v>-2625</v>
      </c>
      <c r="C22" s="22">
        <f t="shared" si="2"/>
        <v>-2625</v>
      </c>
      <c r="D22" s="22">
        <f t="shared" si="2"/>
        <v>-4725</v>
      </c>
      <c r="E22" s="22">
        <f t="shared" si="2"/>
        <v>-4544</v>
      </c>
      <c r="F22" s="22">
        <f t="shared" si="2"/>
        <v>-7108.25</v>
      </c>
      <c r="G22" s="22">
        <f t="shared" si="2"/>
        <v>-10527.25</v>
      </c>
      <c r="H22" s="22">
        <f>SUM(B22:G22)</f>
        <v>-32154.5</v>
      </c>
    </row>
    <row r="23" spans="1:8" ht="23.25" customHeight="1" x14ac:dyDescent="0.35">
      <c r="A23" s="18" t="s">
        <v>65</v>
      </c>
      <c r="B23" s="22">
        <f>B22</f>
        <v>-2625</v>
      </c>
      <c r="C23" s="22">
        <f>B23+C22</f>
        <v>-5250</v>
      </c>
      <c r="D23" s="22">
        <f>C23+D22</f>
        <v>-9975</v>
      </c>
      <c r="E23" s="22">
        <f>D23+E22</f>
        <v>-14519</v>
      </c>
      <c r="F23" s="22">
        <f>E23+F22</f>
        <v>-21627.25</v>
      </c>
      <c r="G23" s="22">
        <f>F23+G22</f>
        <v>-32154.5</v>
      </c>
      <c r="H23" s="22">
        <f>G23</f>
        <v>-32154.5</v>
      </c>
    </row>
  </sheetData>
  <mergeCells count="5">
    <mergeCell ref="A1:H1"/>
    <mergeCell ref="A3:H3"/>
    <mergeCell ref="A8:H8"/>
    <mergeCell ref="A13:H13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zoomScaleNormal="100" workbookViewId="0"/>
  </sheetViews>
  <sheetFormatPr defaultColWidth="8.6328125" defaultRowHeight="14.5" x14ac:dyDescent="0.35"/>
  <cols>
    <col min="1" max="1" width="40" style="4" customWidth="1"/>
    <col min="2" max="2" width="20" style="4" customWidth="1"/>
    <col min="3" max="3" width="30" style="4" customWidth="1"/>
  </cols>
  <sheetData>
    <row r="1" spans="1:3" ht="30" customHeight="1" x14ac:dyDescent="0.35">
      <c r="A1" s="3" t="s">
        <v>66</v>
      </c>
      <c r="B1" s="3"/>
      <c r="C1" s="3"/>
    </row>
    <row r="2" spans="1:3" ht="15" customHeight="1" x14ac:dyDescent="0.35">
      <c r="A2" s="15" t="s">
        <v>67</v>
      </c>
      <c r="B2" s="15" t="s">
        <v>68</v>
      </c>
      <c r="C2" s="15" t="s">
        <v>69</v>
      </c>
    </row>
    <row r="3" spans="1:3" ht="15" customHeight="1" x14ac:dyDescent="0.35">
      <c r="A3" s="6" t="s">
        <v>70</v>
      </c>
      <c r="B3" s="23" t="s">
        <v>71</v>
      </c>
      <c r="C3" s="8"/>
    </row>
    <row r="4" spans="1:3" ht="15" customHeight="1" x14ac:dyDescent="0.35">
      <c r="A4" s="6" t="s">
        <v>72</v>
      </c>
      <c r="B4" s="23" t="s">
        <v>73</v>
      </c>
      <c r="C4" s="8" t="s">
        <v>74</v>
      </c>
    </row>
    <row r="5" spans="1:3" ht="7.5" customHeight="1" x14ac:dyDescent="0.35"/>
    <row r="6" spans="1:3" ht="19.5" customHeight="1" x14ac:dyDescent="0.35">
      <c r="A6" s="2" t="s">
        <v>75</v>
      </c>
      <c r="B6" s="2"/>
      <c r="C6" s="2"/>
    </row>
    <row r="7" spans="1:3" ht="15" customHeight="1" x14ac:dyDescent="0.35">
      <c r="A7" s="6" t="s">
        <v>76</v>
      </c>
      <c r="B7" s="14">
        <f>'P&amp;L по месяцам'!D16+'P&amp;L по месяцам'!D17</f>
        <v>0</v>
      </c>
      <c r="C7" s="8"/>
    </row>
    <row r="8" spans="1:3" ht="15" customHeight="1" x14ac:dyDescent="0.35">
      <c r="A8" s="6" t="s">
        <v>77</v>
      </c>
      <c r="B8" s="14">
        <f>'P&amp;L по месяцам'!H14+'P&amp;L по месяцам'!H15</f>
        <v>42150</v>
      </c>
      <c r="C8" s="8"/>
    </row>
    <row r="9" spans="1:3" ht="21.75" customHeight="1" x14ac:dyDescent="0.35">
      <c r="A9" s="6" t="s">
        <v>78</v>
      </c>
      <c r="B9" s="14">
        <f>'P&amp;L по месяцам'!H19</f>
        <v>52950</v>
      </c>
      <c r="C9" s="8" t="s">
        <v>79</v>
      </c>
    </row>
    <row r="10" spans="1:3" ht="7.5" customHeight="1" x14ac:dyDescent="0.35"/>
    <row r="11" spans="1:3" ht="19.5" customHeight="1" x14ac:dyDescent="0.35">
      <c r="A11" s="2" t="s">
        <v>53</v>
      </c>
      <c r="B11" s="2"/>
      <c r="C11" s="2"/>
    </row>
    <row r="12" spans="1:3" ht="21.75" customHeight="1" x14ac:dyDescent="0.35">
      <c r="A12" s="6" t="s">
        <v>80</v>
      </c>
      <c r="B12" s="14">
        <f>'P&amp;L по месяцам'!H11</f>
        <v>20795.5</v>
      </c>
      <c r="C12" s="8" t="s">
        <v>81</v>
      </c>
    </row>
    <row r="13" spans="1:3" ht="7.5" customHeight="1" x14ac:dyDescent="0.35"/>
    <row r="14" spans="1:3" ht="19.5" customHeight="1" x14ac:dyDescent="0.35">
      <c r="A14" s="2" t="s">
        <v>63</v>
      </c>
      <c r="B14" s="2"/>
      <c r="C14" s="2"/>
    </row>
    <row r="15" spans="1:3" ht="21.75" customHeight="1" x14ac:dyDescent="0.35">
      <c r="A15" s="6" t="s">
        <v>82</v>
      </c>
      <c r="B15" s="14">
        <f>'P&amp;L по месяцам'!H21</f>
        <v>0</v>
      </c>
      <c r="C15" s="8" t="s">
        <v>83</v>
      </c>
    </row>
    <row r="16" spans="1:3" ht="21.75" customHeight="1" x14ac:dyDescent="0.35">
      <c r="A16" s="6" t="s">
        <v>84</v>
      </c>
      <c r="B16" s="14">
        <f>'P&amp;L по месяцам'!G22</f>
        <v>-10527.25</v>
      </c>
      <c r="C16" s="8" t="s">
        <v>85</v>
      </c>
    </row>
    <row r="17" spans="1:3" ht="7.5" customHeight="1" x14ac:dyDescent="0.35"/>
    <row r="18" spans="1:3" ht="19.5" customHeight="1" x14ac:dyDescent="0.35">
      <c r="A18" s="2" t="s">
        <v>86</v>
      </c>
      <c r="B18" s="2"/>
      <c r="C18" s="2"/>
    </row>
    <row r="19" spans="1:3" ht="15" customHeight="1" x14ac:dyDescent="0.35">
      <c r="A19" s="6" t="s">
        <v>87</v>
      </c>
      <c r="B19" s="16">
        <f>Допущения!B19</f>
        <v>1100</v>
      </c>
      <c r="C19" s="8"/>
    </row>
    <row r="20" spans="1:3" ht="15" customHeight="1" x14ac:dyDescent="0.35">
      <c r="A20" s="6" t="s">
        <v>88</v>
      </c>
      <c r="B20" s="16">
        <f>'P&amp;L по месяцам'!H5</f>
        <v>15060</v>
      </c>
      <c r="C20" s="8" t="s">
        <v>89</v>
      </c>
    </row>
    <row r="21" spans="1:3" ht="15" customHeight="1" x14ac:dyDescent="0.35">
      <c r="A21" s="6" t="s">
        <v>90</v>
      </c>
      <c r="B21" s="16">
        <f>'P&amp;L по месяцам'!G6</f>
        <v>55</v>
      </c>
      <c r="C21" s="8"/>
    </row>
  </sheetData>
  <mergeCells count="5">
    <mergeCell ref="A1:C1"/>
    <mergeCell ref="A6:C6"/>
    <mergeCell ref="A11:C11"/>
    <mergeCell ref="A14:C14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Допущения</vt:lpstr>
      <vt:lpstr>P&amp;L по месяцам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Александр Викторов</cp:lastModifiedBy>
  <cp:revision>0</cp:revision>
  <dcterms:created xsi:type="dcterms:W3CDTF">2026-05-07T13:38:57Z</dcterms:created>
  <dcterms:modified xsi:type="dcterms:W3CDTF">2026-05-07T13:57:36Z</dcterms:modified>
  <dc:language>en-US</dc:language>
</cp:coreProperties>
</file>